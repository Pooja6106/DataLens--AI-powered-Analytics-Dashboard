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60" windowHeight="7680"/>
  </bookViews>
  <sheets>
    <sheet name="Delinquency_prediction_datase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4" i="1" l="1"/>
  <c r="T6" i="1"/>
  <c r="C42" i="1"/>
  <c r="H47" i="1"/>
</calcChain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<sst xmlns="http://schemas.openxmlformats.org/spreadsheetml/2006/main" count="5019" uniqueCount="538">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</sst>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tabSelected="1" workbookViewId="0">
      <selection activeCell="C44" sqref="C44"/>
    </sheetView>
  </sheetViews>
  <sheetFormatPr defaultColWidth="11.5546875" defaultRowHeight="15"/>
  <cols>
    <col min="3" max="3" width="11.5546875" style="1"/>
    <col min="20" max="20" width="11.5546875" style="1"/>
  </cols>
  <sheetData>
    <row r="1" spans="1:20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0">
      <c r="A2" t="s">
        <v>19</v>
      </c>
      <c r="B2">
        <v>56</v>
      </c>
      <c r="C2" s="1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20">
      <c r="A3" t="s">
        <v>25</v>
      </c>
      <c r="B3">
        <v>69</v>
      </c>
      <c r="C3" s="1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20">
      <c r="A4" t="s">
        <v>30</v>
      </c>
      <c r="B4">
        <v>46</v>
      </c>
      <c r="C4" s="1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20">
      <c r="A5" t="s">
        <v>33</v>
      </c>
      <c r="B5">
        <v>32</v>
      </c>
      <c r="C5" s="1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20">
      <c r="A6" t="s">
        <v>35</v>
      </c>
      <c r="B6">
        <v>60</v>
      </c>
      <c r="C6" s="1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  <c r="T6" s="1">
        <f>COUNTBLANK(B:B)</f>
        <v>1048075</v>
      </c>
    </row>
    <row r="7" spans="1:20">
      <c r="A7" t="s">
        <v>36</v>
      </c>
      <c r="B7">
        <v>25</v>
      </c>
      <c r="C7" s="1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20">
      <c r="A8" t="s">
        <v>39</v>
      </c>
      <c r="B8">
        <v>38</v>
      </c>
      <c r="C8" s="1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20">
      <c r="A9" t="s">
        <v>41</v>
      </c>
      <c r="B9">
        <v>56</v>
      </c>
      <c r="C9" s="1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20">
      <c r="A10" t="s">
        <v>42</v>
      </c>
      <c r="B10">
        <v>36</v>
      </c>
      <c r="C10" s="1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20">
      <c r="A11" t="s">
        <v>44</v>
      </c>
      <c r="B11">
        <v>40</v>
      </c>
      <c r="C11" s="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20">
      <c r="A12" t="s">
        <v>46</v>
      </c>
      <c r="B12">
        <v>28</v>
      </c>
      <c r="C12" s="1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20">
      <c r="A13" t="s">
        <v>47</v>
      </c>
      <c r="B13">
        <v>28</v>
      </c>
      <c r="C13" s="1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20">
      <c r="A14" t="s">
        <v>48</v>
      </c>
      <c r="B14">
        <v>41</v>
      </c>
      <c r="C14" s="1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20">
      <c r="A15" t="s">
        <v>49</v>
      </c>
      <c r="B15">
        <v>70</v>
      </c>
      <c r="C15" s="1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20">
      <c r="A16" t="s">
        <v>51</v>
      </c>
      <c r="B16">
        <v>53</v>
      </c>
      <c r="C16" s="1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 s="1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 s="1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 s="1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 s="1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 s="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 s="1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 s="1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 s="1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 s="1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 s="1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 s="1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 s="1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 s="1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 s="1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 s="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 s="1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20">
      <c r="A33" t="s">
        <v>69</v>
      </c>
      <c r="B33">
        <v>42</v>
      </c>
      <c r="C33" s="1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20">
      <c r="A34" t="s">
        <v>70</v>
      </c>
      <c r="B34">
        <v>66</v>
      </c>
      <c r="C34" s="1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20">
      <c r="A35" t="s">
        <v>71</v>
      </c>
      <c r="B35">
        <v>44</v>
      </c>
      <c r="C35" s="1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20">
      <c r="A36" t="s">
        <v>72</v>
      </c>
      <c r="B36">
        <v>59</v>
      </c>
      <c r="C36" s="1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20">
      <c r="A37" t="s">
        <v>73</v>
      </c>
      <c r="B37">
        <v>45</v>
      </c>
      <c r="C37" s="1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20">
      <c r="A38" t="s">
        <v>74</v>
      </c>
      <c r="B38">
        <v>33</v>
      </c>
      <c r="C38" s="1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20">
      <c r="A39" t="s">
        <v>75</v>
      </c>
      <c r="B39">
        <v>32</v>
      </c>
      <c r="C39" s="1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20">
      <c r="A40" t="s">
        <v>76</v>
      </c>
      <c r="B40">
        <v>64</v>
      </c>
      <c r="C40" s="1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20">
      <c r="A41" t="s">
        <v>77</v>
      </c>
      <c r="B41">
        <v>68</v>
      </c>
      <c r="C41" s="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20">
      <c r="A42" t="s">
        <v>78</v>
      </c>
      <c r="B42">
        <v>61</v>
      </c>
      <c r="C42" s="2">
        <f>MEDIAN(C41,C45)</f>
        <v>82370.5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  <c r="T42" s="2"/>
    </row>
    <row r="43" spans="1:20">
      <c r="A43" t="s">
        <v>79</v>
      </c>
      <c r="B43">
        <v>72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20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  <c r="T44" s="1">
        <f>MEDIAN(C:C)</f>
        <v>107658</v>
      </c>
    </row>
    <row r="45" spans="1:20">
      <c r="A45" t="s">
        <v>81</v>
      </c>
      <c r="B45">
        <v>74</v>
      </c>
      <c r="C45" s="1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20">
      <c r="A46" t="s">
        <v>82</v>
      </c>
      <c r="B46">
        <v>20</v>
      </c>
      <c r="C46" s="1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20">
      <c r="A47" t="s">
        <v>83</v>
      </c>
      <c r="B47">
        <v>54</v>
      </c>
      <c r="C47" s="1">
        <v>59238</v>
      </c>
      <c r="D47">
        <v>401</v>
      </c>
      <c r="E47">
        <v>0.57559229198737405</v>
      </c>
      <c r="F47">
        <v>2</v>
      </c>
      <c r="G47">
        <v>1</v>
      </c>
      <c r="H47">
        <f ca="1">MEDIAN(H:H)</f>
        <v>0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20">
      <c r="A48" t="s">
        <v>84</v>
      </c>
      <c r="B48">
        <v>68</v>
      </c>
      <c r="C48" s="1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 s="1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 s="1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 s="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 s="1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 s="1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 s="1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 s="1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 s="1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 s="1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 s="1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 s="1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 s="1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 s="1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 s="1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 s="1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 s="1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 s="1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 s="1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 s="1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 s="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 s="1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 s="1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 s="1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 s="1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 s="1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 s="1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 s="1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 s="1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 s="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 s="1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 s="1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 s="1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 s="1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 s="1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 s="1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 s="1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 s="1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 s="1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 s="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 s="1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 s="1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 s="1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 s="1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 s="1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 s="1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 s="1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 s="1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 s="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 s="1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 s="1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 s="1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 s="1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 s="1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 s="1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 s="1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 s="1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 s="1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 s="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 s="1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 s="1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 s="1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 s="1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 s="1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 s="1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 s="1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 s="1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 s="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 s="1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 s="1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 s="1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 s="1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 s="1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 s="1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 s="1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 s="1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 s="1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 s="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 s="1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 s="1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 s="1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 s="1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 s="1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 s="1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 s="1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 s="1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 s="1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 s="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 s="1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 s="1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 s="1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 s="1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 s="1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 s="1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 s="1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 s="1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 s="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 s="1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 s="1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 s="1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 s="1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 s="1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 s="1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 s="1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 s="1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 s="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 s="1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 s="1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 s="1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 s="1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 s="1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 s="1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 s="1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 s="1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 s="1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 s="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 s="1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 s="1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 s="1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 s="1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 s="1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 s="1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 s="1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 s="1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 s="1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 s="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 s="1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 s="1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 s="1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 s="1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 s="1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 s="1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 s="1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 s="1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 s="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 s="1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 s="1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 s="1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 s="1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 s="1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 s="1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 s="1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 s="1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 s="1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 s="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 s="1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 s="1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 s="1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 s="1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 s="1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 s="1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 s="1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 s="1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 s="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 s="1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 s="1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 s="1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 s="1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 s="1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 s="1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 s="1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 s="1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 s="1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 s="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 s="1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 s="1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 s="1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 s="1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 s="1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 s="1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 s="1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 s="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 s="1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 s="1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 s="1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 s="1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 s="1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 s="1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 s="1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 s="1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 s="1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 s="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 s="1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 s="1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 s="1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 s="1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 s="1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 s="1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 s="1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 s="1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 s="1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 s="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 s="1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 s="1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 s="1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 s="1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 s="1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 s="1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 s="1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 s="1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 s="1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 s="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 s="1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 s="1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 s="1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 s="1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 s="1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 s="1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 s="1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 s="1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 s="1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 s="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 s="1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 s="1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 s="1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 s="1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 s="1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 s="1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 s="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 s="1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 s="1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 s="1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 s="1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 s="1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 s="1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 s="1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 s="1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 s="1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 s="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 s="1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 s="1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 s="1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 s="1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 s="1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 s="1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 s="1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 s="1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 s="1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 s="1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 s="1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 s="1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 s="1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 s="1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 s="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 s="1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 s="1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 s="1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 s="1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 s="1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 s="1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 s="1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 s="1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 s="1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 s="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 s="1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 s="1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 s="1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 s="1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 s="1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 s="1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 s="1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 s="1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 s="1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 s="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 s="1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 s="1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 s="1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 s="1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 s="1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 s="1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 s="1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 s="1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 s="1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 s="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 s="1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 s="1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 s="1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 s="1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 s="1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 s="1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 s="1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 s="1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 s="1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 s="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 s="1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 s="1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 s="1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 s="1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 s="1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 s="1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 s="1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 s="1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 s="1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 s="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 s="1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 s="1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 s="1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 s="1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 s="1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 s="1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 s="1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 s="1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 s="1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 s="1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 s="1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 s="1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 s="1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 s="1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 s="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 s="1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 s="1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 s="1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 s="1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 s="1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 s="1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 s="1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 s="1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 s="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 s="1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 s="1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 s="1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 s="1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 s="1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 s="1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 s="1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 s="1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 s="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 s="1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 s="1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 s="1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 s="1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 s="1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 s="1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 s="1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 s="1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 s="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 s="1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 s="1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 s="1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 s="1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 s="1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 s="1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 s="1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 s="1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 s="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 s="1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 s="1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 s="1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 s="1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 s="1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 s="1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 s="1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 s="1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 s="1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 s="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 s="1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 s="1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 s="1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 s="1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 s="1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 s="1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 s="1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 s="1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 s="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 s="1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 s="1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 s="1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 s="1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 s="1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 s="1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 s="1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 s="1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 s="1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 s="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 s="1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 s="1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 s="1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 s="1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 s="1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 s="1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 s="1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 s="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 s="1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 s="1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 s="1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 s="1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 s="1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 s="1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 s="1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 s="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 s="1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 s="1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 s="1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 s="1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 s="1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 s="1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 s="1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 s="1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 s="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 s="1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 s="1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 s="1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 s="1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 s="1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 s="1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 s="1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 s="1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 s="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 s="1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 s="1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 s="1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 s="1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 s="1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 s="1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 s="1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 s="1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 s="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HP</cp:lastModifiedBy>
  <dcterms:created xsi:type="dcterms:W3CDTF">2025-03-20T10:37:19Z</dcterms:created>
  <dcterms:modified xsi:type="dcterms:W3CDTF">2026-03-28T10:38:56Z</dcterms:modified>
</cp:coreProperties>
</file>